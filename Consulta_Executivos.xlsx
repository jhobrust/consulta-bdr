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o.silva\Downloads\"/>
    </mc:Choice>
  </mc:AlternateContent>
  <bookViews>
    <workbookView xWindow="0" yWindow="0" windowWidth="23040" windowHeight="9264"/>
  </bookViews>
  <sheets>
    <sheet name="EXECUTIVOS" sheetId="1" r:id="rId1"/>
    <sheet name="ICP" sheetId="2" r:id="rId2"/>
    <sheet name="CONSULTA_BDR" sheetId="4" r:id="rId3"/>
  </sheets>
  <calcPr calcId="152511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3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5" i="1"/>
  <c r="H6" i="1"/>
  <c r="H7" i="1"/>
  <c r="H4" i="1"/>
  <c r="H3" i="1"/>
</calcChain>
</file>

<file path=xl/sharedStrings.xml><?xml version="1.0" encoding="utf-8"?>
<sst xmlns="http://schemas.openxmlformats.org/spreadsheetml/2006/main" count="230" uniqueCount="77">
  <si>
    <t>PV/PB</t>
  </si>
  <si>
    <t>GERENTE DE VENDAS</t>
  </si>
  <si>
    <t>REGIONAL</t>
  </si>
  <si>
    <t xml:space="preserve">EXECUTIVO DE CONTA </t>
  </si>
  <si>
    <t>PERFIL</t>
  </si>
  <si>
    <t>VERTICAL</t>
  </si>
  <si>
    <t>SISTEMAS PRIVADO</t>
  </si>
  <si>
    <t>CARLOS</t>
  </si>
  <si>
    <t>Centro Oeste</t>
  </si>
  <si>
    <t>Aumento de quadro</t>
  </si>
  <si>
    <t>Executivo C. Pleno</t>
  </si>
  <si>
    <t>MIDDLE JUR</t>
  </si>
  <si>
    <t>Julianna Cristina Costa Silva</t>
  </si>
  <si>
    <t>MIDDLE RH</t>
  </si>
  <si>
    <t>Juliana Vaz Garcia</t>
  </si>
  <si>
    <t>SMB RH</t>
  </si>
  <si>
    <t>JÚLIO</t>
  </si>
  <si>
    <t>Sul</t>
  </si>
  <si>
    <t>Daniela Priebe</t>
  </si>
  <si>
    <t>EDUARDO</t>
  </si>
  <si>
    <t>Sudeste</t>
  </si>
  <si>
    <t>Executivo C. Sênior</t>
  </si>
  <si>
    <t>SMB JUR</t>
  </si>
  <si>
    <t xml:space="preserve">Executivo C. Pleno </t>
  </si>
  <si>
    <t>MID ERP/LOG</t>
  </si>
  <si>
    <t xml:space="preserve">César Augusto Pereira Pinto </t>
  </si>
  <si>
    <t>Elivelton Morais</t>
  </si>
  <si>
    <t>Executivo C. Pró</t>
  </si>
  <si>
    <t>ENTERPRISE RH</t>
  </si>
  <si>
    <t>Mauricio Goncalves</t>
  </si>
  <si>
    <t>Victor Schrader</t>
  </si>
  <si>
    <t>Jésssica Natalia</t>
  </si>
  <si>
    <t>Diego de Oliveira Maria</t>
  </si>
  <si>
    <t>ENTERPRISE JUR</t>
  </si>
  <si>
    <t>Roberto Lucas Junior</t>
  </si>
  <si>
    <t>Wivyanne de Padua Barbosa</t>
  </si>
  <si>
    <t>Dayane Ribeiro</t>
  </si>
  <si>
    <t>Elaine Machado</t>
  </si>
  <si>
    <t xml:space="preserve">Executivo C. Pró </t>
  </si>
  <si>
    <t>Mauricio Dyszy Plaini</t>
  </si>
  <si>
    <t>Gilson Rogério Manke</t>
  </si>
  <si>
    <t>MIDDLE TUR</t>
  </si>
  <si>
    <t>TBD</t>
  </si>
  <si>
    <t>Segmento</t>
  </si>
  <si>
    <t>TM (MRR)</t>
  </si>
  <si>
    <t>TM (ARR)</t>
  </si>
  <si>
    <t>ICP – Critérios</t>
  </si>
  <si>
    <t>R$ 6K</t>
  </si>
  <si>
    <t>R$ 72K</t>
  </si>
  <si>
    <t>Faturamento anual entre R$100M e R$300M · ~1.000 processos ativos · até 5 advogados na área</t>
  </si>
  <si>
    <t>R$ 8,5K</t>
  </si>
  <si>
    <t>R$ 102K</t>
  </si>
  <si>
    <t>R$ 10K</t>
  </si>
  <si>
    <t>R$ 120K</t>
  </si>
  <si>
    <t>Até 4.000 vidas</t>
  </si>
  <si>
    <t>R$ 16K</t>
  </si>
  <si>
    <t>R$ 192K</t>
  </si>
  <si>
    <t>Faturamento anual entre R$300M e R$1BI</t>
  </si>
  <si>
    <t>R$ 12K</t>
  </si>
  <si>
    <t>R$ 144K</t>
  </si>
  <si>
    <t>Faturamento anual a partir de R$300M</t>
  </si>
  <si>
    <t>A partir de R$ 55K</t>
  </si>
  <si>
    <t>A partir de R$ 660K</t>
  </si>
  <si>
    <t>Faturamento anual a partir de R$1BI</t>
  </si>
  <si>
    <t>A partir de R$ 40K</t>
  </si>
  <si>
    <t>A partir de R$ 480K</t>
  </si>
  <si>
    <t>Acima de 4.000 vidas</t>
  </si>
  <si>
    <t>ICP</t>
  </si>
  <si>
    <t>NA</t>
  </si>
  <si>
    <t>DEFINIR</t>
  </si>
  <si>
    <t>Rótulos de Linha</t>
  </si>
  <si>
    <t>Total Geral</t>
  </si>
  <si>
    <t>(Tudo)</t>
  </si>
  <si>
    <r>
      <rPr>
        <b/>
        <sz val="11"/>
        <color theme="1"/>
        <rFont val="Calibri"/>
        <family val="2"/>
        <scheme val="minor"/>
      </rPr>
      <t>USO:</t>
    </r>
    <r>
      <rPr>
        <sz val="11"/>
        <color theme="1"/>
        <rFont val="Calibri"/>
        <family val="2"/>
        <scheme val="minor"/>
      </rPr>
      <t xml:space="preserve"> Selecionar regional  &gt;  Expandir campos da vertical  &gt;  Expandir ICP  &gt;  </t>
    </r>
    <r>
      <rPr>
        <b/>
        <i/>
        <sz val="11"/>
        <color theme="1"/>
        <rFont val="Calibri"/>
        <family val="2"/>
        <scheme val="minor"/>
      </rPr>
      <t>Gerente Localizado</t>
    </r>
  </si>
  <si>
    <t xml:space="preserve">TBD </t>
  </si>
  <si>
    <t>300  vidas Até 500 vidas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</si>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</sst>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Border="1" applyAlignment="1">
      <alignment vertical="center"/>
    </xf>
    <xf numFmtId="0" fontId="3" fillId="0" borderId="0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 applyAlignment="1">
      <alignment horizontal="center"/>
    </xf>
    <xf numFmtId="0" fontId="4" fillId="3" borderId="0" xfId="0" applyFont="1" applyFill="1" applyBorder="1" applyAlignment="1">
      <alignment vertical="center"/>
    </xf>
    <xf numFmtId="0" fontId="0" fillId="0" borderId="5" xfId="0" applyBorder="1"/>
    <xf numFmtId="0" fontId="3" fillId="3" borderId="0" xfId="0" applyFont="1" applyFill="1" applyBorder="1" applyAlignment="1">
      <alignment horizontal="center" vertical="center"/>
    </xf>
    <xf numFmtId="0" fontId="3" fillId="0" borderId="6" xfId="0" applyFont="1" applyBorder="1"/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/>
    <xf numFmtId="0" fontId="3" fillId="3" borderId="7" xfId="0" applyFont="1" applyFill="1" applyBorder="1" applyAlignment="1">
      <alignment vertical="center"/>
    </xf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7">
    <dxf>
      <font>
        <sz val="8"/>
        <color rgb="FF000000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sz val="8"/>
        <color rgb="FF000000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8"/>
        <color rgb="FF000000"/>
      </font>
      <fill>
        <patternFill patternType="solid">
          <fgColor rgb="FF000000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minor"/>
      </font>
      <fill>
        <patternFill patternType="solid">
          <fgColor rgb="FF000000"/>
          <bgColor rgb="FF80808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ão Pedro Santos da Silva" refreshedDate="46062.666019328703" createdVersion="5" refreshedVersion="5" minRefreshableVersion="3" recordCount="29">
  <cacheSource type="worksheet">
    <worksheetSource ref="B2:H31" sheet="EXECUTIVOS"/>
  </cacheSource>
  <cacheFields count="7">
    <cacheField name="PV/PB" numFmtId="0">
      <sharedItems/>
    </cacheField>
    <cacheField name="GERENTE DE VENDAS" numFmtId="0">
      <sharedItems/>
    </cacheField>
    <cacheField name="REGIONAL" numFmtId="0">
      <sharedItems count="4">
        <s v="Centro Oeste"/>
        <s v="Sul"/>
        <s v="Sudeste"/>
        <s v="Nacional"/>
      </sharedItems>
    </cacheField>
    <cacheField name="EXECUTIVO DE CONTA " numFmtId="0">
      <sharedItems count="20">
        <s v="Aumento de quadro"/>
        <s v="Julianna Cristina Costa Silva"/>
        <s v="Juliana Vaz Garcia"/>
        <s v="Daniela Priebe"/>
        <s v="TBD "/>
        <s v="César Augusto Pereira Pinto "/>
        <s v="Elivelton Morais"/>
        <s v="Mauricio Goncalves"/>
        <s v="Victor Schrader"/>
        <s v="Jésssica Natalia"/>
        <s v="Diego de Oliveira Maria"/>
        <s v="Roberto Lucas Junior"/>
        <s v="Wivyanne de Padua Barbosa"/>
        <s v="Dayane Ribeiro"/>
        <s v="Elaine Machado"/>
        <s v="Mauricio Dyszy Plaini"/>
        <s v="Gilson Rogério Manke"/>
        <s v="TBD"/>
        <s v="TBD MURILO" u="1"/>
        <s v="TBD JUNDIAÍ" u="1"/>
      </sharedItems>
    </cacheField>
    <cacheField name="PERFIL" numFmtId="0">
      <sharedItems/>
    </cacheField>
    <cacheField name="VERTICAL" numFmtId="0">
      <sharedItems count="8">
        <s v="MIDDLE JUR"/>
        <s v="MIDDLE RH"/>
        <s v="SMB RH"/>
        <s v="SMB JUR"/>
        <s v="MID ERP/LOG"/>
        <s v="ENTERPRISE RH"/>
        <s v="ENTERPRISE JUR"/>
        <s v="MIDDLE TUR"/>
      </sharedItems>
    </cacheField>
    <cacheField name="ICP" numFmtId="0">
      <sharedItems count="9">
        <s v="Faturamento anual entre R$300M e R$1BI"/>
        <s v="Até 4.000 vidas"/>
        <s v="300  vidas Até 500 vidas"/>
        <s v="Faturamento anual entre R$100M e R$300M · ~1.000 processos ativos · até 5 advogados na área"/>
        <s v="Faturamento anual a partir de R$300M"/>
        <s v="Acima de 4.000 vidas"/>
        <s v="Faturamento anual a partir de R$1BI"/>
        <s v="DEFINIR"/>
        <s v="Até 500 vidas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s v="SISTEMAS PRIVADO"/>
    <s v="CARLOS"/>
    <x v="0"/>
    <x v="0"/>
    <s v="Executivo C. Pleno"/>
    <x v="0"/>
    <x v="0"/>
  </r>
  <r>
    <s v="SISTEMAS PRIVADO"/>
    <s v="CARLOS"/>
    <x v="0"/>
    <x v="1"/>
    <s v="Executivo C. Pleno"/>
    <x v="1"/>
    <x v="1"/>
  </r>
  <r>
    <s v="SISTEMAS PRIVADO"/>
    <s v="CARLOS"/>
    <x v="0"/>
    <x v="2"/>
    <s v="Executivo C. Pleno"/>
    <x v="2"/>
    <x v="2"/>
  </r>
  <r>
    <s v="SISTEMAS PRIVADO"/>
    <s v="JÚLIO"/>
    <x v="1"/>
    <x v="3"/>
    <s v="Executivo C. Pleno"/>
    <x v="1"/>
    <x v="1"/>
  </r>
  <r>
    <s v="SISTEMAS PRIVADO"/>
    <s v="CARLOS"/>
    <x v="0"/>
    <x v="0"/>
    <s v="Executivo C. Pleno"/>
    <x v="0"/>
    <x v="0"/>
  </r>
  <r>
    <s v="SISTEMAS PRIVADO"/>
    <s v="JÚLIO"/>
    <x v="1"/>
    <x v="0"/>
    <s v="Executivo C. Pleno"/>
    <x v="0"/>
    <x v="0"/>
  </r>
  <r>
    <s v="SISTEMAS PRIVADO"/>
    <s v="EDUARDO"/>
    <x v="2"/>
    <x v="4"/>
    <s v="Executivo C. Sênior"/>
    <x v="2"/>
    <x v="2"/>
  </r>
  <r>
    <s v="SISTEMAS PRIVADO"/>
    <s v="JÚLIO"/>
    <x v="1"/>
    <x v="0"/>
    <s v="Executivo C. Pleno"/>
    <x v="3"/>
    <x v="3"/>
  </r>
  <r>
    <s v="SISTEMAS PRIVADO"/>
    <s v="EDUARDO"/>
    <x v="2"/>
    <x v="4"/>
    <s v="Executivo C. Pleno "/>
    <x v="4"/>
    <x v="4"/>
  </r>
  <r>
    <s v="SISTEMAS PRIVADO"/>
    <s v="CARLOS"/>
    <x v="0"/>
    <x v="5"/>
    <s v="Executivo C. Pleno"/>
    <x v="4"/>
    <x v="4"/>
  </r>
  <r>
    <s v="SISTEMAS PRIVADO"/>
    <s v="JÚLIO"/>
    <x v="1"/>
    <x v="0"/>
    <s v="Executivo C. Pleno"/>
    <x v="0"/>
    <x v="0"/>
  </r>
  <r>
    <s v="SISTEMAS PRIVADO"/>
    <s v="JÚLIO"/>
    <x v="3"/>
    <x v="6"/>
    <s v="Executivo C. Pró"/>
    <x v="5"/>
    <x v="5"/>
  </r>
  <r>
    <s v="SISTEMAS PRIVADO"/>
    <s v="JÚLIO"/>
    <x v="1"/>
    <x v="7"/>
    <s v="Executivo C. Pleno"/>
    <x v="0"/>
    <x v="0"/>
  </r>
  <r>
    <s v="SISTEMAS PRIVADO"/>
    <s v="EDUARDO"/>
    <x v="2"/>
    <x v="8"/>
    <s v="Executivo C. Pleno"/>
    <x v="4"/>
    <x v="4"/>
  </r>
  <r>
    <s v="SISTEMAS PRIVADO"/>
    <s v="EDUARDO"/>
    <x v="2"/>
    <x v="9"/>
    <s v="Executivo C. Pleno "/>
    <x v="3"/>
    <x v="3"/>
  </r>
  <r>
    <s v="SISTEMAS PRIVADO"/>
    <s v="EDUARDO"/>
    <x v="3"/>
    <x v="10"/>
    <s v="Executivo C. Pró"/>
    <x v="6"/>
    <x v="6"/>
  </r>
  <r>
    <s v="SISTEMAS PRIVADO"/>
    <s v="CARLOS"/>
    <x v="0"/>
    <x v="0"/>
    <s v="Executivo C. Sênior"/>
    <x v="2"/>
    <x v="2"/>
  </r>
  <r>
    <s v="SISTEMAS PRIVADO"/>
    <s v="CARLOS"/>
    <x v="0"/>
    <x v="0"/>
    <s v="Executivo C. Sênior"/>
    <x v="2"/>
    <x v="2"/>
  </r>
  <r>
    <s v="SISTEMAS PRIVADO"/>
    <s v="EDUARDO"/>
    <x v="3"/>
    <x v="11"/>
    <s v="Executivo C. Pró"/>
    <x v="6"/>
    <x v="6"/>
  </r>
  <r>
    <s v="SISTEMAS PRIVADO"/>
    <s v="EDUARDO"/>
    <x v="3"/>
    <x v="12"/>
    <s v="Executivo C. Pró"/>
    <x v="6"/>
    <x v="6"/>
  </r>
  <r>
    <s v="SISTEMAS PRIVADO"/>
    <s v="EDUARDO"/>
    <x v="2"/>
    <x v="13"/>
    <s v="Executivo C. Sênior"/>
    <x v="0"/>
    <x v="0"/>
  </r>
  <r>
    <s v="SISTEMAS PRIVADO"/>
    <s v="EDUARDO"/>
    <x v="3"/>
    <x v="14"/>
    <s v="Executivo C. Pró "/>
    <x v="5"/>
    <x v="5"/>
  </r>
  <r>
    <s v="SISTEMAS PRIVADO"/>
    <s v="EDUARDO"/>
    <x v="2"/>
    <x v="15"/>
    <s v="Executivo C. Sênior"/>
    <x v="1"/>
    <x v="1"/>
  </r>
  <r>
    <s v="SISTEMAS PRIVADO"/>
    <s v="JÚLIO"/>
    <x v="1"/>
    <x v="0"/>
    <s v="Executivo C. Sênior"/>
    <x v="2"/>
    <x v="2"/>
  </r>
  <r>
    <s v="SISTEMAS PRIVADO"/>
    <s v="JÚLIO"/>
    <x v="1"/>
    <x v="0"/>
    <s v="Executivo C. Sênior"/>
    <x v="1"/>
    <x v="1"/>
  </r>
  <r>
    <s v="SISTEMAS PRIVADO"/>
    <s v="JÚLIO"/>
    <x v="1"/>
    <x v="16"/>
    <s v="Executivo C. Pró"/>
    <x v="4"/>
    <x v="4"/>
  </r>
  <r>
    <s v="SISTEMAS PRIVADO"/>
    <s v="CARLOS"/>
    <x v="0"/>
    <x v="0"/>
    <s v="Executivo C. Sênior"/>
    <x v="1"/>
    <x v="1"/>
  </r>
  <r>
    <s v="SISTEMAS PRIVADO"/>
    <s v="EDUARDO"/>
    <x v="2"/>
    <x v="13"/>
    <s v="Executivo C. Sênior"/>
    <x v="7"/>
    <x v="7"/>
  </r>
  <r>
    <s v="SISTEMAS PRIVADO"/>
    <s v="JÚLIO"/>
    <x v="1"/>
    <x v="17"/>
    <s v="Executivo C. Sênior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6:B15" firstHeaderRow="1" firstDataRow="1" firstDataCol="1" rowPageCount="1" colPageCount="1"/>
  <pivotFields count="7">
    <pivotField showAll="0"/>
    <pivotField showAll="0"/>
    <pivotField axis="axisPage" multipleItemSelectionAllowed="1" showAll="0">
      <items count="5">
        <item x="0"/>
        <item x="2"/>
        <item x="1"/>
        <item x="3"/>
        <item t="default"/>
      </items>
    </pivotField>
    <pivotField axis="axisRow" showAll="0">
      <items count="21">
        <item sd="0" x="0"/>
        <item sd="0" x="5"/>
        <item sd="0" x="3"/>
        <item sd="0" x="13"/>
        <item sd="0" x="10"/>
        <item sd="0" x="14"/>
        <item sd="0" x="6"/>
        <item sd="0" x="16"/>
        <item sd="0" x="9"/>
        <item sd="0" x="2"/>
        <item sd="0" x="1"/>
        <item sd="0" x="15"/>
        <item sd="0" x="7"/>
        <item sd="0" x="11"/>
        <item sd="0" x="17"/>
        <item sd="0" m="1" x="19"/>
        <item sd="0" m="1" x="18"/>
        <item sd="0" x="8"/>
        <item x="12"/>
        <item x="4"/>
        <item t="default"/>
      </items>
    </pivotField>
    <pivotField showAll="0"/>
    <pivotField axis="axisRow" showAll="0">
      <items count="9">
        <item sd="0" x="6"/>
        <item sd="0" x="5"/>
        <item sd="0" x="4"/>
        <item sd="0" x="0"/>
        <item sd="0" x="1"/>
        <item sd="0" x="7"/>
        <item sd="0" x="3"/>
        <item sd="0" x="2"/>
        <item t="default"/>
      </items>
    </pivotField>
    <pivotField axis="axisRow" showAll="0">
      <items count="10">
        <item x="5"/>
        <item x="1"/>
        <item m="1" x="8"/>
        <item x="7"/>
        <item x="6"/>
        <item x="4"/>
        <item x="3"/>
        <item x="0"/>
        <item x="2"/>
        <item t="default"/>
      </items>
    </pivotField>
  </pivotFields>
  <rowFields count="3">
    <field x="5"/>
    <field x="6"/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B2:E10" totalsRowShown="0" headerRowDxfId="6" dataDxfId="5" tableBorderDxfId="4">
  <autoFilter ref="B2:E10"/>
  <tableColumns count="4">
    <tableColumn id="1" name="Segmento" dataDxfId="3"/>
    <tableColumn id="3" name="TM (MRR)" dataDxfId="2"/>
    <tableColumn id="4" name="TM (ARR)" dataDxfId="1"/>
    <tableColumn id="5" name="ICP – Critério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showGridLines="0" tabSelected="1" workbookViewId="0">
      <selection activeCell="D22" sqref="D22"/>
    </sheetView>
  </sheetViews>
  <sheetFormatPr defaultRowHeight="14.4"/>
  <cols>
    <col min="2" max="2" width="16.33203125" customWidth="1"/>
    <col min="3" max="3" width="16.44140625" customWidth="1"/>
    <col min="4" max="4" width="10.6640625" customWidth="1"/>
    <col min="5" max="5" width="17.5546875" customWidth="1"/>
    <col min="6" max="6" width="16.109375" customWidth="1"/>
    <col min="7" max="7" width="16" customWidth="1"/>
    <col min="8" max="8" width="82.77734375" customWidth="1"/>
  </cols>
  <sheetData>
    <row r="2" spans="2:8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 t="s">
        <v>67</v>
      </c>
    </row>
    <row r="3" spans="2:8">
      <c r="B3" s="7" t="s">
        <v>6</v>
      </c>
      <c r="C3" s="8" t="s">
        <v>7</v>
      </c>
      <c r="D3" s="2" t="s">
        <v>8</v>
      </c>
      <c r="E3" s="9" t="s">
        <v>9</v>
      </c>
      <c r="F3" s="1" t="s">
        <v>10</v>
      </c>
      <c r="G3" s="1" t="s">
        <v>11</v>
      </c>
      <c r="H3" s="10" t="str">
        <f>VLOOKUP(G3,Tabela1[#All],4,FALSE)</f>
        <v>Faturamento anual entre R$300M e R$1BI</v>
      </c>
    </row>
    <row r="4" spans="2:8">
      <c r="B4" s="7" t="s">
        <v>6</v>
      </c>
      <c r="C4" s="8" t="s">
        <v>7</v>
      </c>
      <c r="D4" s="2" t="s">
        <v>8</v>
      </c>
      <c r="E4" s="1" t="s">
        <v>12</v>
      </c>
      <c r="F4" s="1" t="s">
        <v>10</v>
      </c>
      <c r="G4" s="1" t="s">
        <v>13</v>
      </c>
      <c r="H4" s="10" t="str">
        <f>VLOOKUP(G4,Tabela1[#All],4,FALSE)</f>
        <v>Até 4.000 vidas</v>
      </c>
    </row>
    <row r="5" spans="2:8">
      <c r="B5" s="7" t="s">
        <v>6</v>
      </c>
      <c r="C5" s="11" t="s">
        <v>7</v>
      </c>
      <c r="D5" s="2" t="s">
        <v>8</v>
      </c>
      <c r="E5" s="1" t="s">
        <v>14</v>
      </c>
      <c r="F5" s="1" t="s">
        <v>10</v>
      </c>
      <c r="G5" s="1" t="s">
        <v>15</v>
      </c>
      <c r="H5" s="10" t="str">
        <f>VLOOKUP(G5,Tabela1[#All],4,FALSE)</f>
        <v>300  vidas Até 500 vidas</v>
      </c>
    </row>
    <row r="6" spans="2:8">
      <c r="B6" s="7" t="s">
        <v>6</v>
      </c>
      <c r="C6" s="11" t="s">
        <v>16</v>
      </c>
      <c r="D6" s="2" t="s">
        <v>17</v>
      </c>
      <c r="E6" s="2" t="s">
        <v>18</v>
      </c>
      <c r="F6" s="2" t="s">
        <v>10</v>
      </c>
      <c r="G6" s="2" t="s">
        <v>13</v>
      </c>
      <c r="H6" s="10" t="str">
        <f>VLOOKUP(G6,Tabela1[#All],4,FALSE)</f>
        <v>Até 4.000 vidas</v>
      </c>
    </row>
    <row r="7" spans="2:8">
      <c r="B7" s="7" t="s">
        <v>6</v>
      </c>
      <c r="C7" s="8" t="s">
        <v>7</v>
      </c>
      <c r="D7" s="2" t="s">
        <v>8</v>
      </c>
      <c r="E7" s="9" t="s">
        <v>9</v>
      </c>
      <c r="F7" s="1" t="s">
        <v>10</v>
      </c>
      <c r="G7" s="1" t="s">
        <v>11</v>
      </c>
      <c r="H7" s="10" t="str">
        <f>VLOOKUP(G7,Tabela1[#All],4,FALSE)</f>
        <v>Faturamento anual entre R$300M e R$1BI</v>
      </c>
    </row>
    <row r="8" spans="2:8">
      <c r="B8" s="7" t="s">
        <v>6</v>
      </c>
      <c r="C8" s="11" t="s">
        <v>16</v>
      </c>
      <c r="D8" s="1" t="s">
        <v>17</v>
      </c>
      <c r="E8" s="9" t="s">
        <v>9</v>
      </c>
      <c r="F8" s="1" t="s">
        <v>10</v>
      </c>
      <c r="G8" s="1" t="s">
        <v>11</v>
      </c>
      <c r="H8" s="10" t="str">
        <f>VLOOKUP(G8,Tabela1[#All],4,FALSE)</f>
        <v>Faturamento anual entre R$300M e R$1BI</v>
      </c>
    </row>
    <row r="9" spans="2:8">
      <c r="B9" s="7" t="s">
        <v>6</v>
      </c>
      <c r="C9" s="8" t="s">
        <v>19</v>
      </c>
      <c r="D9" s="2" t="s">
        <v>20</v>
      </c>
      <c r="E9" s="9" t="s">
        <v>74</v>
      </c>
      <c r="F9" s="1" t="s">
        <v>21</v>
      </c>
      <c r="G9" s="1" t="s">
        <v>15</v>
      </c>
      <c r="H9" s="10" t="str">
        <f>VLOOKUP(G9,Tabela1[#All],4,FALSE)</f>
        <v>300  vidas Até 500 vidas</v>
      </c>
    </row>
    <row r="10" spans="2:8">
      <c r="B10" s="7" t="s">
        <v>6</v>
      </c>
      <c r="C10" s="11" t="s">
        <v>16</v>
      </c>
      <c r="D10" s="1" t="s">
        <v>17</v>
      </c>
      <c r="E10" s="9" t="s">
        <v>9</v>
      </c>
      <c r="F10" s="1" t="s">
        <v>10</v>
      </c>
      <c r="G10" s="1" t="s">
        <v>22</v>
      </c>
      <c r="H10" s="10" t="str">
        <f>VLOOKUP(G10,Tabela1[#All],4,FALSE)</f>
        <v>Faturamento anual entre R$100M e R$300M · ~1.000 processos ativos · até 5 advogados na área</v>
      </c>
    </row>
    <row r="11" spans="2:8">
      <c r="B11" s="7" t="s">
        <v>6</v>
      </c>
      <c r="C11" s="11" t="s">
        <v>19</v>
      </c>
      <c r="D11" s="1" t="s">
        <v>20</v>
      </c>
      <c r="E11" s="1" t="s">
        <v>74</v>
      </c>
      <c r="F11" s="1" t="s">
        <v>23</v>
      </c>
      <c r="G11" s="1" t="s">
        <v>24</v>
      </c>
      <c r="H11" s="10" t="str">
        <f>VLOOKUP(G11,Tabela1[#All],4,FALSE)</f>
        <v>Faturamento anual a partir de R$300M</v>
      </c>
    </row>
    <row r="12" spans="2:8">
      <c r="B12" s="7" t="s">
        <v>6</v>
      </c>
      <c r="C12" s="8" t="s">
        <v>7</v>
      </c>
      <c r="D12" s="2" t="s">
        <v>8</v>
      </c>
      <c r="E12" s="1" t="s">
        <v>25</v>
      </c>
      <c r="F12" s="1" t="s">
        <v>10</v>
      </c>
      <c r="G12" s="1" t="s">
        <v>24</v>
      </c>
      <c r="H12" s="10" t="str">
        <f>VLOOKUP(G12,Tabela1[#All],4,FALSE)</f>
        <v>Faturamento anual a partir de R$300M</v>
      </c>
    </row>
    <row r="13" spans="2:8">
      <c r="B13" s="7" t="s">
        <v>6</v>
      </c>
      <c r="C13" s="8" t="s">
        <v>16</v>
      </c>
      <c r="D13" s="1" t="s">
        <v>17</v>
      </c>
      <c r="E13" s="9" t="s">
        <v>9</v>
      </c>
      <c r="F13" s="1" t="s">
        <v>10</v>
      </c>
      <c r="G13" s="1" t="s">
        <v>11</v>
      </c>
      <c r="H13" s="10" t="str">
        <f>VLOOKUP(G13,Tabela1[#All],4,FALSE)</f>
        <v>Faturamento anual entre R$300M e R$1BI</v>
      </c>
    </row>
    <row r="14" spans="2:8">
      <c r="B14" s="7" t="s">
        <v>6</v>
      </c>
      <c r="C14" s="11" t="s">
        <v>16</v>
      </c>
      <c r="D14" s="2" t="s">
        <v>76</v>
      </c>
      <c r="E14" s="2" t="s">
        <v>26</v>
      </c>
      <c r="F14" s="2" t="s">
        <v>27</v>
      </c>
      <c r="G14" s="2" t="s">
        <v>28</v>
      </c>
      <c r="H14" s="10" t="str">
        <f>VLOOKUP(G14,Tabela1[#All],4,FALSE)</f>
        <v>Acima de 4.000 vidas</v>
      </c>
    </row>
    <row r="15" spans="2:8">
      <c r="B15" s="7" t="s">
        <v>6</v>
      </c>
      <c r="C15" s="11" t="s">
        <v>16</v>
      </c>
      <c r="D15" s="2" t="s">
        <v>17</v>
      </c>
      <c r="E15" s="2" t="s">
        <v>29</v>
      </c>
      <c r="F15" s="2" t="s">
        <v>10</v>
      </c>
      <c r="G15" s="2" t="s">
        <v>11</v>
      </c>
      <c r="H15" s="10" t="str">
        <f>VLOOKUP(G15,Tabela1[#All],4,FALSE)</f>
        <v>Faturamento anual entre R$300M e R$1BI</v>
      </c>
    </row>
    <row r="16" spans="2:8">
      <c r="B16" s="7" t="s">
        <v>6</v>
      </c>
      <c r="C16" s="11" t="s">
        <v>19</v>
      </c>
      <c r="D16" s="1" t="s">
        <v>20</v>
      </c>
      <c r="E16" s="1" t="s">
        <v>30</v>
      </c>
      <c r="F16" s="1" t="s">
        <v>10</v>
      </c>
      <c r="G16" s="1" t="s">
        <v>24</v>
      </c>
      <c r="H16" s="10" t="str">
        <f>VLOOKUP(G16,Tabela1[#All],4,FALSE)</f>
        <v>Faturamento anual a partir de R$300M</v>
      </c>
    </row>
    <row r="17" spans="2:8">
      <c r="B17" s="7" t="s">
        <v>6</v>
      </c>
      <c r="C17" s="11" t="s">
        <v>19</v>
      </c>
      <c r="D17" s="1" t="s">
        <v>20</v>
      </c>
      <c r="E17" s="1" t="s">
        <v>31</v>
      </c>
      <c r="F17" s="1" t="s">
        <v>23</v>
      </c>
      <c r="G17" s="1" t="s">
        <v>22</v>
      </c>
      <c r="H17" s="10" t="str">
        <f>VLOOKUP(G17,Tabela1[#All],4,FALSE)</f>
        <v>Faturamento anual entre R$100M e R$300M · ~1.000 processos ativos · até 5 advogados na área</v>
      </c>
    </row>
    <row r="18" spans="2:8">
      <c r="B18" s="7" t="s">
        <v>6</v>
      </c>
      <c r="C18" s="11" t="s">
        <v>19</v>
      </c>
      <c r="D18" s="1" t="s">
        <v>76</v>
      </c>
      <c r="E18" s="1" t="s">
        <v>32</v>
      </c>
      <c r="F18" s="1" t="s">
        <v>27</v>
      </c>
      <c r="G18" s="1" t="s">
        <v>33</v>
      </c>
      <c r="H18" s="10" t="str">
        <f>VLOOKUP(G18,Tabela1[#All],4,FALSE)</f>
        <v>Faturamento anual a partir de R$1BI</v>
      </c>
    </row>
    <row r="19" spans="2:8">
      <c r="B19" s="7" t="s">
        <v>6</v>
      </c>
      <c r="C19" s="8" t="s">
        <v>7</v>
      </c>
      <c r="D19" s="2" t="s">
        <v>8</v>
      </c>
      <c r="E19" s="9" t="s">
        <v>9</v>
      </c>
      <c r="F19" s="1" t="s">
        <v>21</v>
      </c>
      <c r="G19" s="1" t="s">
        <v>15</v>
      </c>
      <c r="H19" s="10" t="str">
        <f>VLOOKUP(G19,Tabela1[#All],4,FALSE)</f>
        <v>300  vidas Até 500 vidas</v>
      </c>
    </row>
    <row r="20" spans="2:8">
      <c r="B20" s="7" t="s">
        <v>6</v>
      </c>
      <c r="C20" s="8" t="s">
        <v>7</v>
      </c>
      <c r="D20" s="2" t="s">
        <v>8</v>
      </c>
      <c r="E20" s="9" t="s">
        <v>9</v>
      </c>
      <c r="F20" s="1" t="s">
        <v>21</v>
      </c>
      <c r="G20" s="1" t="s">
        <v>15</v>
      </c>
      <c r="H20" s="10" t="str">
        <f>VLOOKUP(G20,Tabela1[#All],4,FALSE)</f>
        <v>300  vidas Até 500 vidas</v>
      </c>
    </row>
    <row r="21" spans="2:8">
      <c r="B21" s="7" t="s">
        <v>6</v>
      </c>
      <c r="C21" s="11" t="s">
        <v>19</v>
      </c>
      <c r="D21" s="1" t="s">
        <v>76</v>
      </c>
      <c r="E21" s="1" t="s">
        <v>34</v>
      </c>
      <c r="F21" s="1" t="s">
        <v>27</v>
      </c>
      <c r="G21" s="1" t="s">
        <v>33</v>
      </c>
      <c r="H21" s="10" t="str">
        <f>VLOOKUP(G21,Tabela1[#All],4,FALSE)</f>
        <v>Faturamento anual a partir de R$1BI</v>
      </c>
    </row>
    <row r="22" spans="2:8">
      <c r="B22" s="7" t="s">
        <v>6</v>
      </c>
      <c r="C22" s="11" t="s">
        <v>19</v>
      </c>
      <c r="D22" s="1" t="s">
        <v>76</v>
      </c>
      <c r="E22" s="1" t="s">
        <v>35</v>
      </c>
      <c r="F22" s="1" t="s">
        <v>27</v>
      </c>
      <c r="G22" s="1" t="s">
        <v>33</v>
      </c>
      <c r="H22" s="10" t="str">
        <f>VLOOKUP(G22,Tabela1[#All],4,FALSE)</f>
        <v>Faturamento anual a partir de R$1BI</v>
      </c>
    </row>
    <row r="23" spans="2:8">
      <c r="B23" s="7" t="s">
        <v>6</v>
      </c>
      <c r="C23" s="11" t="s">
        <v>19</v>
      </c>
      <c r="D23" s="1" t="s">
        <v>20</v>
      </c>
      <c r="E23" s="1" t="s">
        <v>36</v>
      </c>
      <c r="F23" s="1" t="s">
        <v>21</v>
      </c>
      <c r="G23" s="1" t="s">
        <v>11</v>
      </c>
      <c r="H23" s="10" t="str">
        <f>VLOOKUP(G23,Tabela1[#All],4,FALSE)</f>
        <v>Faturamento anual entre R$300M e R$1BI</v>
      </c>
    </row>
    <row r="24" spans="2:8">
      <c r="B24" s="7" t="s">
        <v>6</v>
      </c>
      <c r="C24" s="11" t="s">
        <v>19</v>
      </c>
      <c r="D24" s="1" t="s">
        <v>76</v>
      </c>
      <c r="E24" s="1" t="s">
        <v>37</v>
      </c>
      <c r="F24" s="1" t="s">
        <v>38</v>
      </c>
      <c r="G24" s="1" t="s">
        <v>28</v>
      </c>
      <c r="H24" s="10" t="str">
        <f>VLOOKUP(G24,Tabela1[#All],4,FALSE)</f>
        <v>Acima de 4.000 vidas</v>
      </c>
    </row>
    <row r="25" spans="2:8">
      <c r="B25" s="7" t="s">
        <v>6</v>
      </c>
      <c r="C25" s="11" t="s">
        <v>19</v>
      </c>
      <c r="D25" s="1" t="s">
        <v>20</v>
      </c>
      <c r="E25" s="1" t="s">
        <v>39</v>
      </c>
      <c r="F25" s="1" t="s">
        <v>21</v>
      </c>
      <c r="G25" s="1" t="s">
        <v>13</v>
      </c>
      <c r="H25" s="10" t="str">
        <f>VLOOKUP(G25,Tabela1[#All],4,FALSE)</f>
        <v>Até 4.000 vidas</v>
      </c>
    </row>
    <row r="26" spans="2:8">
      <c r="B26" s="7" t="s">
        <v>6</v>
      </c>
      <c r="C26" s="11" t="s">
        <v>16</v>
      </c>
      <c r="D26" s="1" t="s">
        <v>17</v>
      </c>
      <c r="E26" s="9" t="s">
        <v>9</v>
      </c>
      <c r="F26" s="1" t="s">
        <v>21</v>
      </c>
      <c r="G26" s="1" t="s">
        <v>15</v>
      </c>
      <c r="H26" s="10" t="str">
        <f>VLOOKUP(G26,Tabela1[#All],4,FALSE)</f>
        <v>300  vidas Até 500 vidas</v>
      </c>
    </row>
    <row r="27" spans="2:8">
      <c r="B27" s="7" t="s">
        <v>6</v>
      </c>
      <c r="C27" s="11" t="s">
        <v>16</v>
      </c>
      <c r="D27" s="1" t="s">
        <v>17</v>
      </c>
      <c r="E27" s="9" t="s">
        <v>9</v>
      </c>
      <c r="F27" s="1" t="s">
        <v>21</v>
      </c>
      <c r="G27" s="1" t="s">
        <v>13</v>
      </c>
      <c r="H27" s="10" t="str">
        <f>VLOOKUP(G27,Tabela1[#All],4,FALSE)</f>
        <v>Até 4.000 vidas</v>
      </c>
    </row>
    <row r="28" spans="2:8">
      <c r="B28" s="7" t="s">
        <v>6</v>
      </c>
      <c r="C28" s="11" t="s">
        <v>16</v>
      </c>
      <c r="D28" s="2" t="s">
        <v>17</v>
      </c>
      <c r="E28" s="2" t="s">
        <v>40</v>
      </c>
      <c r="F28" s="2" t="s">
        <v>27</v>
      </c>
      <c r="G28" s="2" t="s">
        <v>24</v>
      </c>
      <c r="H28" s="10" t="str">
        <f>VLOOKUP(G28,Tabela1[#All],4,FALSE)</f>
        <v>Faturamento anual a partir de R$300M</v>
      </c>
    </row>
    <row r="29" spans="2:8">
      <c r="B29" s="7" t="s">
        <v>6</v>
      </c>
      <c r="C29" s="8" t="s">
        <v>7</v>
      </c>
      <c r="D29" s="2" t="s">
        <v>8</v>
      </c>
      <c r="E29" s="9" t="s">
        <v>9</v>
      </c>
      <c r="F29" s="1" t="s">
        <v>21</v>
      </c>
      <c r="G29" s="1" t="s">
        <v>13</v>
      </c>
      <c r="H29" s="10" t="str">
        <f>VLOOKUP(G29,Tabela1[#All],4,FALSE)</f>
        <v>Até 4.000 vidas</v>
      </c>
    </row>
    <row r="30" spans="2:8">
      <c r="B30" s="7" t="s">
        <v>6</v>
      </c>
      <c r="C30" s="11" t="s">
        <v>19</v>
      </c>
      <c r="D30" s="1" t="s">
        <v>20</v>
      </c>
      <c r="E30" s="1" t="s">
        <v>36</v>
      </c>
      <c r="F30" s="1" t="s">
        <v>21</v>
      </c>
      <c r="G30" s="1" t="s">
        <v>41</v>
      </c>
      <c r="H30" s="10" t="str">
        <f>VLOOKUP(G30,Tabela1[#All],4,FALSE)</f>
        <v>DEFINIR</v>
      </c>
    </row>
    <row r="31" spans="2:8">
      <c r="B31" s="12" t="s">
        <v>6</v>
      </c>
      <c r="C31" s="13" t="s">
        <v>16</v>
      </c>
      <c r="D31" s="14" t="s">
        <v>17</v>
      </c>
      <c r="E31" s="14" t="s">
        <v>42</v>
      </c>
      <c r="F31" s="14" t="s">
        <v>21</v>
      </c>
      <c r="G31" s="15" t="s">
        <v>24</v>
      </c>
      <c r="H31" s="16" t="str">
        <f>VLOOKUP(G31,Tabela1[#All],4,FALSE)</f>
        <v>Faturamento anual a partir de R$300M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showGridLines="0" workbookViewId="0">
      <selection activeCell="B41" sqref="B41"/>
    </sheetView>
  </sheetViews>
  <sheetFormatPr defaultRowHeight="14.4"/>
  <cols>
    <col min="2" max="2" width="16.77734375" customWidth="1"/>
    <col min="3" max="3" width="19.77734375" customWidth="1"/>
    <col min="4" max="4" width="21.6640625" customWidth="1"/>
    <col min="5" max="5" width="63.21875" customWidth="1"/>
  </cols>
  <sheetData>
    <row r="2" spans="2:5">
      <c r="B2" s="3" t="s">
        <v>43</v>
      </c>
      <c r="C2" s="3" t="s">
        <v>44</v>
      </c>
      <c r="D2" s="3" t="s">
        <v>45</v>
      </c>
      <c r="E2" s="3" t="s">
        <v>46</v>
      </c>
    </row>
    <row r="3" spans="2:5">
      <c r="B3" s="1" t="s">
        <v>22</v>
      </c>
      <c r="C3" s="1" t="s">
        <v>47</v>
      </c>
      <c r="D3" s="1" t="s">
        <v>48</v>
      </c>
      <c r="E3" s="1" t="s">
        <v>49</v>
      </c>
    </row>
    <row r="4" spans="2:5">
      <c r="B4" s="1" t="s">
        <v>15</v>
      </c>
      <c r="C4" s="1" t="s">
        <v>50</v>
      </c>
      <c r="D4" s="1" t="s">
        <v>51</v>
      </c>
      <c r="E4" s="1" t="s">
        <v>75</v>
      </c>
    </row>
    <row r="5" spans="2:5">
      <c r="B5" s="1" t="s">
        <v>13</v>
      </c>
      <c r="C5" s="1" t="s">
        <v>52</v>
      </c>
      <c r="D5" s="1" t="s">
        <v>53</v>
      </c>
      <c r="E5" s="1" t="s">
        <v>54</v>
      </c>
    </row>
    <row r="6" spans="2:5">
      <c r="B6" s="1" t="s">
        <v>11</v>
      </c>
      <c r="C6" s="1" t="s">
        <v>55</v>
      </c>
      <c r="D6" s="1" t="s">
        <v>56</v>
      </c>
      <c r="E6" s="1" t="s">
        <v>57</v>
      </c>
    </row>
    <row r="7" spans="2:5">
      <c r="B7" s="1" t="s">
        <v>24</v>
      </c>
      <c r="C7" s="1" t="s">
        <v>58</v>
      </c>
      <c r="D7" s="1" t="s">
        <v>59</v>
      </c>
      <c r="E7" s="1" t="s">
        <v>60</v>
      </c>
    </row>
    <row r="8" spans="2:5">
      <c r="B8" s="1" t="s">
        <v>33</v>
      </c>
      <c r="C8" s="1" t="s">
        <v>61</v>
      </c>
      <c r="D8" s="1" t="s">
        <v>62</v>
      </c>
      <c r="E8" s="1" t="s">
        <v>63</v>
      </c>
    </row>
    <row r="9" spans="2:5">
      <c r="B9" s="1" t="s">
        <v>28</v>
      </c>
      <c r="C9" s="1" t="s">
        <v>64</v>
      </c>
      <c r="D9" s="1" t="s">
        <v>65</v>
      </c>
      <c r="E9" s="1" t="s">
        <v>66</v>
      </c>
    </row>
    <row r="10" spans="2:5">
      <c r="B10" s="1" t="s">
        <v>41</v>
      </c>
      <c r="C10" s="1" t="s">
        <v>68</v>
      </c>
      <c r="D10" s="1" t="s">
        <v>68</v>
      </c>
      <c r="E10" s="1" t="s">
        <v>69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G15"/>
  <sheetViews>
    <sheetView showGridLines="0" workbookViewId="0">
      <selection activeCell="F19" sqref="F19"/>
    </sheetView>
  </sheetViews>
  <sheetFormatPr defaultRowHeight="14.4"/>
  <cols>
    <col min="2" max="2" width="17.21875" customWidth="1"/>
    <col min="3" max="3" width="8.44140625" customWidth="1"/>
    <col min="4" max="4" width="13.77734375" customWidth="1"/>
    <col min="5" max="5" width="12.109375" customWidth="1"/>
    <col min="6" max="6" width="7.6640625" customWidth="1"/>
    <col min="7" max="7" width="31.77734375" customWidth="1"/>
    <col min="8" max="8" width="34" customWidth="1"/>
    <col min="9" max="9" width="83" customWidth="1"/>
    <col min="10" max="10" width="36.5546875" customWidth="1"/>
    <col min="11" max="11" width="10" bestFit="1" customWidth="1"/>
  </cols>
  <sheetData>
    <row r="2" spans="2:7">
      <c r="B2" s="19" t="s">
        <v>73</v>
      </c>
      <c r="C2" s="19"/>
      <c r="D2" s="19"/>
      <c r="E2" s="19"/>
      <c r="F2" s="19"/>
      <c r="G2" s="19"/>
    </row>
    <row r="4" spans="2:7">
      <c r="B4" s="17" t="s">
        <v>2</v>
      </c>
      <c r="C4" t="s">
        <v>72</v>
      </c>
    </row>
    <row r="6" spans="2:7">
      <c r="B6" s="17" t="s">
        <v>70</v>
      </c>
    </row>
    <row r="7" spans="2:7">
      <c r="B7" s="18" t="s">
        <v>33</v>
      </c>
    </row>
    <row r="8" spans="2:7">
      <c r="B8" s="18" t="s">
        <v>28</v>
      </c>
    </row>
    <row r="9" spans="2:7">
      <c r="B9" s="18" t="s">
        <v>24</v>
      </c>
    </row>
    <row r="10" spans="2:7">
      <c r="B10" s="18" t="s">
        <v>11</v>
      </c>
    </row>
    <row r="11" spans="2:7">
      <c r="B11" s="18" t="s">
        <v>13</v>
      </c>
    </row>
    <row r="12" spans="2:7">
      <c r="B12" s="18" t="s">
        <v>41</v>
      </c>
    </row>
    <row r="13" spans="2:7">
      <c r="B13" s="18" t="s">
        <v>22</v>
      </c>
    </row>
    <row r="14" spans="2:7">
      <c r="B14" s="18" t="s">
        <v>15</v>
      </c>
    </row>
    <row r="15" spans="2:7">
      <c r="B15" s="18" t="s">
        <v>71</v>
      </c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EXECUTIVOS</vt:lpstr>
      <vt:lpstr>ICP</vt:lpstr>
      <vt:lpstr>CONSULTA_BDR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Santos da Silva</dc:creator>
  <cp:lastModifiedBy>João Pedro Santos da Silva</cp:lastModifiedBy>
  <dcterms:created xsi:type="dcterms:W3CDTF">2026-01-30T18:30:07Z</dcterms:created>
  <dcterms:modified xsi:type="dcterms:W3CDTF">2026-02-09T19:21:56Z</dcterms:modified>
</cp:coreProperties>
</file>